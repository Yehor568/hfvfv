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Інструкція" sheetId="1" state="visible" r:id="rId1"/>
    <sheet name="Параметри" sheetId="2" state="visible" r:id="rId2"/>
    <sheet name="Економіка" sheetId="3" state="visible" r:id="rId3"/>
    <sheet name="Бенчмарки" sheetId="4" state="visible" r:id="rId4"/>
    <sheet name="Ваги" sheetId="5" state="visible" r:id="rId5"/>
    <sheet name="Скоринг" sheetId="6" state="visible" r:id="rId6"/>
    <sheet name="Протокол тесту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₴&quot;;(#,##0&quot; ₴&quot;);-"/>
    <numFmt numFmtId="165" formatCode="0.0%;(0.0%);-"/>
    <numFmt numFmtId="166" formatCode="$#,##0.00;($#,##0.00);-"/>
    <numFmt numFmtId="167" formatCode="#,##0;(#,##0);-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FFFFFF"/>
    </font>
    <font>
      <name val="Arial"/>
      <color rgb="000000FF"/>
    </font>
    <font>
      <name val="Arial"/>
      <b val="1"/>
      <color rgb="000000FF"/>
    </font>
    <font>
      <name val="Arial"/>
      <i val="1"/>
      <sz val="9"/>
    </font>
    <font>
      <name val="Arial"/>
      <color rgb="0000800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0" borderId="0" pivotButton="0" quotePrefix="0" xfId="0"/>
    <xf numFmtId="0" fontId="9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0" borderId="0" pivotButton="0" quotePrefix="0" xfId="0"/>
    <xf numFmtId="164" fontId="5" fillId="3" borderId="1" pivotButton="0" quotePrefix="0" xfId="0"/>
    <xf numFmtId="165" fontId="5" fillId="3" borderId="1" pivotButton="0" quotePrefix="0" xfId="0"/>
    <xf numFmtId="2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164" fontId="2" fillId="0" borderId="1" pivotButton="0" quotePrefix="0" xfId="0"/>
    <xf numFmtId="166" fontId="3" fillId="0" borderId="1" pivotButton="0" quotePrefix="0" xfId="0"/>
    <xf numFmtId="166" fontId="2" fillId="0" borderId="1" pivotButton="0" quotePrefix="0" xfId="0"/>
    <xf numFmtId="0" fontId="3" fillId="0" borderId="0" pivotButton="0" quotePrefix="0" xfId="0"/>
    <xf numFmtId="0" fontId="4" fillId="2" borderId="0" pivotButton="0" quotePrefix="0" xfId="0"/>
    <xf numFmtId="164" fontId="6" fillId="4" borderId="0" pivotButton="0" quotePrefix="0" xfId="0"/>
    <xf numFmtId="165" fontId="6" fillId="4" borderId="0" pivotButton="0" quotePrefix="0" xfId="0"/>
    <xf numFmtId="0" fontId="2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166" fontId="9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0" fontId="9" fillId="0" borderId="1" pivotButton="0" quotePrefix="0" xfId="0"/>
    <xf numFmtId="166" fontId="3" fillId="0" borderId="0" pivotButton="0" quotePrefix="0" xfId="0"/>
    <xf numFmtId="167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7" fillId="0" borderId="0" pivotButton="0" quotePrefix="0" xfId="0"/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0" pivotButton="0" quotePrefix="0" xfId="0"/>
    <xf numFmtId="0" fontId="5" fillId="0" borderId="1" pivotButton="0" quotePrefix="0" xfId="0"/>
    <xf numFmtId="166" fontId="8" fillId="0" borderId="1" pivotButton="0" quotePrefix="0" xfId="0"/>
    <xf numFmtId="165" fontId="8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Claude</author>
  </authors>
  <commentList>
    <comment ref="A5" authorId="0" shapeId="0">
      <text>
        <t>Приклад заповнення. Оцінки — первинні експертні з пілоту 01.10.2026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Product Hunter — модель відбору товарів (v1, 01.10.2026)</t>
        </is>
      </c>
    </row>
    <row r="2">
      <c r="A2" s="2" t="inlineStr"/>
    </row>
    <row r="3">
      <c r="A3" s="3" t="inlineStr">
        <is>
          <t>Як користуватись</t>
        </is>
      </c>
    </row>
    <row r="4">
      <c r="A4" s="2" t="inlineStr">
        <is>
          <t>1. «Параметри»: змініть сині значення в жовтих клітинках (маржа, апрув, викуп, курс). Решта аркушів перерахується автоматично.</t>
        </is>
      </c>
    </row>
    <row r="5">
      <c r="A5" s="2" t="inlineStr">
        <is>
          <t>2. «Економіка»: допустима ціна ліда (беззбиток і ціль) + таблиця чутливості.</t>
        </is>
      </c>
    </row>
    <row r="6">
      <c r="A6" s="2" t="inlineStr">
        <is>
          <t>3. «Бенчмарки»: ваші реальні товари з Meta за 90 днів і їхній орієнтовний прибуток при поточних параметрах.</t>
        </is>
      </c>
    </row>
    <row r="7">
      <c r="A7" s="2" t="inlineStr">
        <is>
          <t>4. «Ваги»: вага кожного блоку Score і шкала оцінювання 0–5. Ваги можна міняти (сума має бути 100).</t>
        </is>
      </c>
    </row>
    <row r="8">
      <c r="A8" s="2" t="inlineStr">
        <is>
          <t>5. «Скоринг»: додавайте нові товари в порожні рядки, ставте оцінки 0–5 і очікуваний CPL. Score і рішення рахуються самі.</t>
        </is>
      </c>
    </row>
    <row r="9">
      <c r="A9" s="2" t="inlineStr">
        <is>
          <t>6. «Протокол тесту»: правила запуску, зупинки і масштабування з конкретними цифрами.</t>
        </is>
      </c>
    </row>
    <row r="10">
      <c r="A10" s="2" t="inlineStr"/>
    </row>
    <row r="11">
      <c r="A11" s="3" t="inlineStr">
        <is>
          <t>Кольори</t>
        </is>
      </c>
    </row>
    <row r="12">
      <c r="A12" s="2" t="inlineStr">
        <is>
          <t>Синій текст — ручні вхідні дані. Чорний — формули. Зелений — посилання на інший аркуш. Жовта заливка — ключові припущення, які варто перевірити.</t>
        </is>
      </c>
    </row>
    <row r="13">
      <c r="A13" s="2" t="inlineStr"/>
    </row>
    <row r="14">
      <c r="A14" s="3" t="inlineStr">
        <is>
          <t>Важливо</t>
        </is>
      </c>
    </row>
    <row r="15">
      <c r="A15" s="2" t="inlineStr">
        <is>
          <t>• Оцінки 0–5 у «Скоринг» для нових товарів — первинні експертні оцінки з пілоту, а не результат автоматичного збору даних.</t>
        </is>
      </c>
    </row>
    <row r="16">
      <c r="A16" s="2" t="inlineStr">
        <is>
          <t>• Апрув 64 %, викуп 82 %, 23 ₴ витрат на замовлення і 23 % комісії з допродажів — ваші цифри; повернення невикупу ~150 ₴. Конкретні значення по кожному товару підставимо з LP-CRM.</t>
        </is>
      </c>
    </row>
    <row r="17">
      <c r="A17" s="2" t="inlineStr">
        <is>
          <t>• Бенчмарки охоплюють кампанії з трьох найбільших кабінетів (1 бм 2 рк (MAX), ХітМаркет, рк2), топ-20 кампаній кожного за спендом.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62" customWidth="1" min="3" max="3"/>
  </cols>
  <sheetData>
    <row r="1">
      <c r="A1" s="4" t="inlineStr">
        <is>
          <t>Параметри економіки</t>
        </is>
      </c>
      <c r="B1" s="5" t="n"/>
      <c r="C1" s="5" t="n"/>
    </row>
    <row r="2">
      <c r="A2" s="5" t="n"/>
      <c r="B2" s="5" t="n"/>
      <c r="C2" s="5" t="n"/>
    </row>
    <row r="3">
      <c r="A3" s="6" t="inlineStr">
        <is>
          <t>Параметр</t>
        </is>
      </c>
      <c r="B3" s="6" t="inlineStr">
        <is>
          <t>Значення</t>
        </is>
      </c>
      <c r="C3" s="6" t="inlineStr">
        <is>
          <t>Джерело / примітка</t>
        </is>
      </c>
    </row>
    <row r="4">
      <c r="A4" s="7" t="inlineStr">
        <is>
          <t>Маржа з товару (продаж − закупка), ₴</t>
        </is>
      </c>
      <c r="B4" s="8" t="n">
        <v>300</v>
      </c>
      <c r="C4" s="7" t="inlineStr">
        <is>
          <t>Від користувача: 250–350 ₴, взято середнє</t>
        </is>
      </c>
    </row>
    <row r="5">
      <c r="A5" s="7" t="inlineStr">
        <is>
          <t>Маржа з допродажів у середньому, ₴</t>
        </is>
      </c>
      <c r="B5" s="8" t="n">
        <v>250</v>
      </c>
      <c r="C5" s="7" t="inlineStr">
        <is>
          <t>Від користувача: 200–300 ₴, взято середнє</t>
        </is>
      </c>
    </row>
    <row r="6">
      <c r="A6" s="7" t="inlineStr">
        <is>
          <t>Апрув (підтверджені / ліди)</t>
        </is>
      </c>
      <c r="B6" s="9" t="n">
        <v>0.64</v>
      </c>
      <c r="C6" s="7" t="inlineStr">
        <is>
          <t>Від користувача: середнє по LP-CRM</t>
        </is>
      </c>
    </row>
    <row r="7">
      <c r="A7" s="7" t="inlineStr">
        <is>
          <t>Викуп (отримані / відправлені)</t>
        </is>
      </c>
      <c r="B7" s="9" t="n">
        <v>0.82</v>
      </c>
      <c r="C7" s="7" t="inlineStr">
        <is>
          <t>Від користувача: середнє по LP-CRM</t>
        </is>
      </c>
    </row>
    <row r="8">
      <c r="A8" s="7" t="inlineStr">
        <is>
          <t>Витрата на 1 невикуп (повернення посилки), ₴</t>
        </is>
      </c>
      <c r="B8" s="8" t="n">
        <v>150</v>
      </c>
      <c r="C8" s="7" t="inlineStr">
        <is>
          <t>Від користувача: ~150 ₴</t>
        </is>
      </c>
    </row>
    <row r="9">
      <c r="A9" s="7" t="inlineStr">
        <is>
          <t>Інші витрати на 1 підтверджене замовлення, ₴</t>
        </is>
      </c>
      <c r="B9" s="8" t="n">
        <v>23</v>
      </c>
      <c r="C9" s="7" t="inlineStr">
        <is>
          <t>Від користувача: 23 ₴ за підтверджене замовлення</t>
        </is>
      </c>
    </row>
    <row r="10">
      <c r="A10" s="7" t="inlineStr">
        <is>
          <t>Курс ₴ за $1</t>
        </is>
      </c>
      <c r="B10" s="10" t="n">
        <v>41.5</v>
      </c>
      <c r="C10" s="7" t="inlineStr">
        <is>
          <t>ПРИПУЩЕННЯ: орієнтовний курс. Оновлюйте</t>
        </is>
      </c>
    </row>
    <row r="11">
      <c r="A11" s="7" t="inlineStr">
        <is>
          <t>Цільова частка прибутку від беззбиткового CPL</t>
        </is>
      </c>
      <c r="B11" s="9" t="n">
        <v>0.4</v>
      </c>
      <c r="C11" s="7" t="inlineStr">
        <is>
          <t>Пропозиція: лишаємо 40 % запасу, ціль = 60 % від беззбитку</t>
        </is>
      </c>
    </row>
    <row r="12">
      <c r="A12" s="7" t="inlineStr">
        <is>
          <t>Тестовий бюджет, $/день</t>
        </is>
      </c>
      <c r="B12" s="11" t="n">
        <v>14</v>
      </c>
      <c r="C12" s="7" t="inlineStr">
        <is>
          <t>З вашої практики (тести $11–15)</t>
        </is>
      </c>
    </row>
    <row r="13">
      <c r="A13" s="7" t="inlineStr">
        <is>
          <t>Тривалість тесту, днів</t>
        </is>
      </c>
      <c r="B13" s="12" t="n">
        <v>3</v>
      </c>
      <c r="C13" s="7" t="inlineStr">
        <is>
          <t>Пропозиція</t>
        </is>
      </c>
    </row>
    <row r="14">
      <c r="A14" s="7" t="inlineStr">
        <is>
          <t>Бюджет масштабування, $/день</t>
        </is>
      </c>
      <c r="B14" s="11" t="n">
        <v>50</v>
      </c>
      <c r="C14" s="7" t="inlineStr">
        <is>
          <t>З вашої практики (скейл $50)</t>
        </is>
      </c>
    </row>
    <row r="15">
      <c r="A15" s="7" t="inlineStr">
        <is>
          <t>Мінімальний апрув для масштабування</t>
        </is>
      </c>
      <c r="B15" s="9" t="n">
        <v>0.6</v>
      </c>
      <c r="C15" s="7" t="inlineStr">
        <is>
          <t>Пропозиція</t>
        </is>
      </c>
    </row>
    <row r="16">
      <c r="A16" s="7" t="inlineStr">
        <is>
          <t>Множник kill-спенду (× цільовий CPL)</t>
        </is>
      </c>
      <c r="B16" s="12" t="n">
        <v>3</v>
      </c>
      <c r="C16" s="7" t="inlineStr">
        <is>
          <t>Рішення про стоп після спенду = N × цільовий CPL</t>
        </is>
      </c>
    </row>
    <row r="17">
      <c r="A17" s="7" t="inlineStr">
        <is>
          <t>Комісія з маржі допродажів</t>
        </is>
      </c>
      <c r="B17" s="9" t="n">
        <v>0.23</v>
      </c>
      <c r="C17" s="7" t="inlineStr">
        <is>
          <t>Від користувача: 23 % з маржі допродажів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4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Допустима ціна ліда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</row>
    <row r="3">
      <c r="A3" s="6" t="inlineStr">
        <is>
          <t>Показник</t>
        </is>
      </c>
      <c r="B3" s="6" t="inlineStr">
        <is>
          <t>Значення</t>
        </is>
      </c>
      <c r="C3" s="6" t="inlineStr">
        <is>
          <t>Формула / пояснення</t>
        </is>
      </c>
      <c r="D3" s="5" t="n"/>
      <c r="E3" s="5" t="n"/>
      <c r="F3" s="5" t="n"/>
      <c r="G3" s="5" t="n"/>
      <c r="H3" s="5" t="n"/>
    </row>
    <row r="4">
      <c r="A4" s="7" t="inlineStr">
        <is>
          <t>Повна маржа з викупленого замовлення, ₴</t>
        </is>
      </c>
      <c r="B4" s="13">
        <f>Параметри!B4+Параметри!B5*(1-Параметри!B17)</f>
        <v/>
      </c>
      <c r="C4" s="7" t="inlineStr">
        <is>
          <t>маржа товару + допродажі мінус комісія з допродажів</t>
        </is>
      </c>
      <c r="D4" s="5" t="n"/>
      <c r="E4" s="5" t="n"/>
      <c r="F4" s="5" t="n"/>
      <c r="G4" s="5" t="n"/>
      <c r="H4" s="5" t="n"/>
    </row>
    <row r="5">
      <c r="A5" s="7" t="inlineStr">
        <is>
          <t>Дохід з 1 підтвердженого замовлення, ₴</t>
        </is>
      </c>
      <c r="B5" s="13">
        <f>Параметри!B7*B4-(1-Параметри!B7)*Параметри!B8-Параметри!B9</f>
        <v/>
      </c>
      <c r="C5" s="7" t="inlineStr">
        <is>
          <t>викуп × маржа − невикуп × повернення − інші витрати</t>
        </is>
      </c>
      <c r="D5" s="5" t="n"/>
      <c r="E5" s="5" t="n"/>
      <c r="F5" s="5" t="n"/>
      <c r="G5" s="5" t="n"/>
      <c r="H5" s="5" t="n"/>
    </row>
    <row r="6">
      <c r="A6" s="7" t="inlineStr">
        <is>
          <t>Беззбитковий CPL, ₴</t>
        </is>
      </c>
      <c r="B6" s="13">
        <f>Параметри!B6*B5</f>
        <v/>
      </c>
      <c r="C6" s="7" t="inlineStr">
        <is>
          <t>апрув × дохід з підтвердженого</t>
        </is>
      </c>
      <c r="D6" s="5" t="n"/>
      <c r="E6" s="5" t="n"/>
      <c r="F6" s="5" t="n"/>
      <c r="G6" s="5" t="n"/>
      <c r="H6" s="5" t="n"/>
    </row>
    <row r="7">
      <c r="A7" s="7" t="inlineStr">
        <is>
          <t>Беззбитковий CPL, $</t>
        </is>
      </c>
      <c r="B7" s="14">
        <f>B6/Параметри!B10</f>
        <v/>
      </c>
      <c r="C7" s="7" t="inlineStr">
        <is>
          <t>максимум, який можна платити за лід</t>
        </is>
      </c>
      <c r="D7" s="5" t="n"/>
      <c r="E7" s="5" t="n"/>
      <c r="F7" s="5" t="n"/>
      <c r="G7" s="5" t="n"/>
      <c r="H7" s="5" t="n"/>
    </row>
    <row r="8">
      <c r="A8" s="7" t="inlineStr">
        <is>
          <t>Цільовий CPL, $</t>
        </is>
      </c>
      <c r="B8" s="14">
        <f>B7*(1-Параметри!B11)</f>
        <v/>
      </c>
      <c r="C8" s="7" t="inlineStr">
        <is>
          <t>ціль, за якої лишається запас прибутку</t>
        </is>
      </c>
      <c r="D8" s="5" t="n"/>
      <c r="E8" s="5" t="n"/>
      <c r="F8" s="5" t="n"/>
      <c r="G8" s="5" t="n"/>
      <c r="H8" s="5" t="n"/>
    </row>
    <row r="9">
      <c r="A9" s="7" t="inlineStr">
        <is>
          <t>Ціна викупленого замовлення при цільовому CPL, $</t>
        </is>
      </c>
      <c r="B9" s="15">
        <f>B8/(Параметри!B6*Параметри!B7)</f>
        <v/>
      </c>
      <c r="C9" s="7" t="inlineStr">
        <is>
          <t>скільки реклами припадає на 1 викуп</t>
        </is>
      </c>
      <c r="D9" s="5" t="n"/>
      <c r="E9" s="5" t="n"/>
      <c r="F9" s="5" t="n"/>
      <c r="G9" s="5" t="n"/>
      <c r="H9" s="5" t="n"/>
    </row>
    <row r="10">
      <c r="A10" s="7" t="inlineStr">
        <is>
          <t>Прибуток з 1 ліда при цільовому CPL, ₴</t>
        </is>
      </c>
      <c r="B10" s="13">
        <f>B6-B8*Параметри!B10</f>
        <v/>
      </c>
      <c r="C10" s="7" t="inlineStr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16" t="inlineStr">
        <is>
          <t>Чутливість: беззбитковий CPL ($) залежно від апруву (рядки) і повної маржі (стовпці); викуп і повернення — з «Параметри»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s="17" t="inlineStr">
        <is>
          <t>Апрув \ Маржа, ₴</t>
        </is>
      </c>
      <c r="B14" s="18" t="n">
        <v>400</v>
      </c>
      <c r="C14" s="18" t="n">
        <v>450</v>
      </c>
      <c r="D14" s="18" t="n">
        <v>500</v>
      </c>
      <c r="E14" s="18" t="n">
        <v>550</v>
      </c>
      <c r="F14" s="18" t="n">
        <v>600</v>
      </c>
      <c r="G14" s="18" t="n">
        <v>650</v>
      </c>
      <c r="H14" s="18" t="n">
        <v>700</v>
      </c>
    </row>
    <row r="15">
      <c r="A15" s="19" t="n">
        <v>0.5</v>
      </c>
      <c r="B15" s="15">
        <f>$A15*(Параметри!$B$7*B$14-(1-Параметри!$B$7)*Параметри!$B$8-Параметри!$B$9)/Параметри!$B$10</f>
        <v/>
      </c>
      <c r="C15" s="15">
        <f>$A15*(Параметри!$B$7*C$14-(1-Параметри!$B$7)*Параметри!$B$8-Параметри!$B$9)/Параметри!$B$10</f>
        <v/>
      </c>
      <c r="D15" s="15">
        <f>$A15*(Параметри!$B$7*D$14-(1-Параметри!$B$7)*Параметри!$B$8-Параметри!$B$9)/Параметри!$B$10</f>
        <v/>
      </c>
      <c r="E15" s="15">
        <f>$A15*(Параметри!$B$7*E$14-(1-Параметри!$B$7)*Параметри!$B$8-Параметри!$B$9)/Параметри!$B$10</f>
        <v/>
      </c>
      <c r="F15" s="15">
        <f>$A15*(Параметри!$B$7*F$14-(1-Параметри!$B$7)*Параметри!$B$8-Параметри!$B$9)/Параметри!$B$10</f>
        <v/>
      </c>
      <c r="G15" s="15">
        <f>$A15*(Параметри!$B$7*G$14-(1-Параметри!$B$7)*Параметри!$B$8-Параметри!$B$9)/Параметри!$B$10</f>
        <v/>
      </c>
      <c r="H15" s="15">
        <f>$A15*(Параметри!$B$7*H$14-(1-Параметри!$B$7)*Параметри!$B$8-Параметри!$B$9)/Параметри!$B$10</f>
        <v/>
      </c>
    </row>
    <row r="16">
      <c r="A16" s="19" t="n">
        <v>0.55</v>
      </c>
      <c r="B16" s="15">
        <f>$A16*(Параметри!$B$7*B$14-(1-Параметри!$B$7)*Параметри!$B$8-Параметри!$B$9)/Параметри!$B$10</f>
        <v/>
      </c>
      <c r="C16" s="15">
        <f>$A16*(Параметри!$B$7*C$14-(1-Параметри!$B$7)*Параметри!$B$8-Параметри!$B$9)/Параметри!$B$10</f>
        <v/>
      </c>
      <c r="D16" s="15">
        <f>$A16*(Параметри!$B$7*D$14-(1-Параметри!$B$7)*Параметри!$B$8-Параметри!$B$9)/Параметри!$B$10</f>
        <v/>
      </c>
      <c r="E16" s="15">
        <f>$A16*(Параметри!$B$7*E$14-(1-Параметри!$B$7)*Параметри!$B$8-Параметри!$B$9)/Параметри!$B$10</f>
        <v/>
      </c>
      <c r="F16" s="15">
        <f>$A16*(Параметри!$B$7*F$14-(1-Параметри!$B$7)*Параметри!$B$8-Параметри!$B$9)/Параметри!$B$10</f>
        <v/>
      </c>
      <c r="G16" s="15">
        <f>$A16*(Параметри!$B$7*G$14-(1-Параметри!$B$7)*Параметри!$B$8-Параметри!$B$9)/Параметри!$B$10</f>
        <v/>
      </c>
      <c r="H16" s="15">
        <f>$A16*(Параметри!$B$7*H$14-(1-Параметри!$B$7)*Параметри!$B$8-Параметри!$B$9)/Параметри!$B$10</f>
        <v/>
      </c>
    </row>
    <row r="17">
      <c r="A17" s="19" t="n">
        <v>0.6</v>
      </c>
      <c r="B17" s="15">
        <f>$A17*(Параметри!$B$7*B$14-(1-Параметри!$B$7)*Параметри!$B$8-Параметри!$B$9)/Параметри!$B$10</f>
        <v/>
      </c>
      <c r="C17" s="15">
        <f>$A17*(Параметри!$B$7*C$14-(1-Параметри!$B$7)*Параметри!$B$8-Параметри!$B$9)/Параметри!$B$10</f>
        <v/>
      </c>
      <c r="D17" s="15">
        <f>$A17*(Параметри!$B$7*D$14-(1-Параметри!$B$7)*Параметри!$B$8-Параметри!$B$9)/Параметри!$B$10</f>
        <v/>
      </c>
      <c r="E17" s="15">
        <f>$A17*(Параметри!$B$7*E$14-(1-Параметри!$B$7)*Параметри!$B$8-Параметри!$B$9)/Параметри!$B$10</f>
        <v/>
      </c>
      <c r="F17" s="15">
        <f>$A17*(Параметри!$B$7*F$14-(1-Параметри!$B$7)*Параметри!$B$8-Параметри!$B$9)/Параметри!$B$10</f>
        <v/>
      </c>
      <c r="G17" s="15">
        <f>$A17*(Параметри!$B$7*G$14-(1-Параметри!$B$7)*Параметри!$B$8-Параметри!$B$9)/Параметри!$B$10</f>
        <v/>
      </c>
      <c r="H17" s="15">
        <f>$A17*(Параметри!$B$7*H$14-(1-Параметри!$B$7)*Параметри!$B$8-Параметри!$B$9)/Параметри!$B$10</f>
        <v/>
      </c>
    </row>
    <row r="18">
      <c r="A18" s="19" t="n">
        <v>0.64</v>
      </c>
      <c r="B18" s="15">
        <f>$A18*(Параметри!$B$7*B$14-(1-Параметри!$B$7)*Параметри!$B$8-Параметри!$B$9)/Параметри!$B$10</f>
        <v/>
      </c>
      <c r="C18" s="15">
        <f>$A18*(Параметри!$B$7*C$14-(1-Параметри!$B$7)*Параметри!$B$8-Параметри!$B$9)/Параметри!$B$10</f>
        <v/>
      </c>
      <c r="D18" s="15">
        <f>$A18*(Параметри!$B$7*D$14-(1-Параметри!$B$7)*Параметри!$B$8-Параметри!$B$9)/Параметри!$B$10</f>
        <v/>
      </c>
      <c r="E18" s="15">
        <f>$A18*(Параметри!$B$7*E$14-(1-Параметри!$B$7)*Параметри!$B$8-Параметри!$B$9)/Параметри!$B$10</f>
        <v/>
      </c>
      <c r="F18" s="15">
        <f>$A18*(Параметри!$B$7*F$14-(1-Параметри!$B$7)*Параметри!$B$8-Параметри!$B$9)/Параметри!$B$10</f>
        <v/>
      </c>
      <c r="G18" s="15">
        <f>$A18*(Параметри!$B$7*G$14-(1-Параметри!$B$7)*Параметри!$B$8-Параметри!$B$9)/Параметри!$B$10</f>
        <v/>
      </c>
      <c r="H18" s="15">
        <f>$A18*(Параметри!$B$7*H$14-(1-Параметри!$B$7)*Параметри!$B$8-Параметри!$B$9)/Параметри!$B$10</f>
        <v/>
      </c>
    </row>
    <row r="19">
      <c r="A19" s="19" t="n">
        <v>0.7</v>
      </c>
      <c r="B19" s="15">
        <f>$A19*(Параметри!$B$7*B$14-(1-Параметри!$B$7)*Параметри!$B$8-Параметри!$B$9)/Параметри!$B$10</f>
        <v/>
      </c>
      <c r="C19" s="15">
        <f>$A19*(Параметри!$B$7*C$14-(1-Параметри!$B$7)*Параметри!$B$8-Параметри!$B$9)/Параметри!$B$10</f>
        <v/>
      </c>
      <c r="D19" s="15">
        <f>$A19*(Параметри!$B$7*D$14-(1-Параметри!$B$7)*Параметри!$B$8-Параметри!$B$9)/Параметри!$B$10</f>
        <v/>
      </c>
      <c r="E19" s="15">
        <f>$A19*(Параметри!$B$7*E$14-(1-Параметри!$B$7)*Параметри!$B$8-Параметри!$B$9)/Параметри!$B$10</f>
        <v/>
      </c>
      <c r="F19" s="15">
        <f>$A19*(Параметри!$B$7*F$14-(1-Параметри!$B$7)*Параметри!$B$8-Параметри!$B$9)/Параметри!$B$10</f>
        <v/>
      </c>
      <c r="G19" s="15">
        <f>$A19*(Параметри!$B$7*G$14-(1-Параметри!$B$7)*Параметри!$B$8-Параметри!$B$9)/Параметри!$B$10</f>
        <v/>
      </c>
      <c r="H19" s="15">
        <f>$A19*(Параметри!$B$7*H$14-(1-Параметри!$B$7)*Параметри!$B$8-Параметри!$B$9)/Параметри!$B$10</f>
        <v/>
      </c>
    </row>
    <row r="20">
      <c r="A20" s="19" t="n">
        <v>0.75</v>
      </c>
      <c r="B20" s="15">
        <f>$A20*(Параметри!$B$7*B$14-(1-Параметри!$B$7)*Параметри!$B$8-Параметри!$B$9)/Параметри!$B$10</f>
        <v/>
      </c>
      <c r="C20" s="15">
        <f>$A20*(Параметри!$B$7*C$14-(1-Параметри!$B$7)*Параметри!$B$8-Параметри!$B$9)/Параметри!$B$10</f>
        <v/>
      </c>
      <c r="D20" s="15">
        <f>$A20*(Параметри!$B$7*D$14-(1-Параметри!$B$7)*Параметри!$B$8-Параметри!$B$9)/Параметри!$B$10</f>
        <v/>
      </c>
      <c r="E20" s="15">
        <f>$A20*(Параметри!$B$7*E$14-(1-Параметри!$B$7)*Параметри!$B$8-Параметри!$B$9)/Параметри!$B$10</f>
        <v/>
      </c>
      <c r="F20" s="15">
        <f>$A20*(Параметри!$B$7*F$14-(1-Параметри!$B$7)*Параметри!$B$8-Параметри!$B$9)/Параметри!$B$10</f>
        <v/>
      </c>
      <c r="G20" s="15">
        <f>$A20*(Параметри!$B$7*G$14-(1-Параметри!$B$7)*Параметри!$B$8-Параметри!$B$9)/Параметри!$B$10</f>
        <v/>
      </c>
      <c r="H20" s="15">
        <f>$A20*(Параметри!$B$7*H$14-(1-Параметри!$B$7)*Параметри!$B$8-Параметри!$B$9)/Параметри!$B$10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3" customWidth="1" min="3" max="3"/>
    <col width="9" customWidth="1" min="4" max="4"/>
    <col width="10" customWidth="1" min="5" max="5"/>
    <col width="18" customWidth="1" min="6" max="6"/>
    <col width="20" customWidth="1" min="7" max="7"/>
    <col width="10" customWidth="1" min="8" max="8"/>
    <col width="18" customWidth="1" min="9" max="9"/>
  </cols>
  <sheetData>
    <row r="1">
      <c r="A1" s="4" t="inlineStr">
        <is>
          <t>Ваші товари: факт Meta за 90 днів (до 01.10.2026) і орієнтовний прибуток</t>
        </is>
      </c>
      <c r="B1" s="5" t="n"/>
      <c r="C1" s="5" t="n"/>
      <c r="D1" s="5" t="n"/>
      <c r="E1" s="5" t="n"/>
      <c r="F1" s="5" t="n"/>
      <c r="G1" s="5" t="n"/>
      <c r="H1" s="5" t="n"/>
      <c r="I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</row>
    <row r="3">
      <c r="A3" s="6" t="inlineStr">
        <is>
          <t>Товар</t>
        </is>
      </c>
      <c r="B3" s="6" t="inlineStr">
        <is>
          <t>ID</t>
        </is>
      </c>
      <c r="C3" s="6" t="inlineStr">
        <is>
          <t>Спенд, $</t>
        </is>
      </c>
      <c r="D3" s="6" t="inlineStr">
        <is>
          <t>Ліди</t>
        </is>
      </c>
      <c r="E3" s="6" t="inlineStr">
        <is>
          <t>CPL, $</t>
        </is>
      </c>
      <c r="F3" s="6" t="inlineStr">
        <is>
          <t>Прибуток з 1 ліда, ₴</t>
        </is>
      </c>
      <c r="G3" s="6" t="inlineStr">
        <is>
          <t>Прибуток за 90 днів, ₴</t>
        </is>
      </c>
      <c r="H3" s="6" t="inlineStr">
        <is>
          <t>ROMI</t>
        </is>
      </c>
      <c r="I3" s="6" t="inlineStr">
        <is>
          <t>Статус</t>
        </is>
      </c>
    </row>
    <row r="4">
      <c r="A4" s="20" t="inlineStr">
        <is>
          <t>Подрібнювач</t>
        </is>
      </c>
      <c r="B4" s="20" t="inlineStr">
        <is>
          <t>id72</t>
        </is>
      </c>
      <c r="C4" s="21" t="n">
        <v>11991.55</v>
      </c>
      <c r="D4" s="22" t="n">
        <v>5462</v>
      </c>
      <c r="E4" s="23">
        <f>IFERROR(C4/D4,0)</f>
        <v/>
      </c>
      <c r="F4" s="24">
        <f>Економіка!$B$6-E4*Параметри!$B$10</f>
        <v/>
      </c>
      <c r="G4" s="24">
        <f>F4*D4</f>
        <v/>
      </c>
      <c r="H4" s="25">
        <f>IFERROR(G4/(C4*Параметри!$B$10),0)</f>
        <v/>
      </c>
      <c r="I4" s="26">
        <f>IF(E4&lt;=Економіка!$B$8,"✅ прибутковий",IF(E4&lt;=Економіка!$B$7,"⚠️ тонка маржа","❌ збиток"))</f>
        <v/>
      </c>
    </row>
    <row r="5">
      <c r="A5" s="20" t="inlineStr">
        <is>
          <t>Блендер</t>
        </is>
      </c>
      <c r="B5" s="20" t="inlineStr">
        <is>
          <t>id260</t>
        </is>
      </c>
      <c r="C5" s="21" t="n">
        <v>966.6</v>
      </c>
      <c r="D5" s="22" t="n">
        <v>404</v>
      </c>
      <c r="E5" s="23">
        <f>IFERROR(C5/D5,0)</f>
        <v/>
      </c>
      <c r="F5" s="24">
        <f>Економіка!$B$6-E5*Параметри!$B$10</f>
        <v/>
      </c>
      <c r="G5" s="24">
        <f>F5*D5</f>
        <v/>
      </c>
      <c r="H5" s="25">
        <f>IFERROR(G5/(C5*Параметри!$B$10),0)</f>
        <v/>
      </c>
      <c r="I5" s="26">
        <f>IF(E5&lt;=Економіка!$B$8,"✅ прибутковий",IF(E5&lt;=Економіка!$B$7,"⚠️ тонка маржа","❌ збиток"))</f>
        <v/>
      </c>
    </row>
    <row r="6">
      <c r="A6" s="20" t="inlineStr">
        <is>
          <t>Компресор</t>
        </is>
      </c>
      <c r="B6" s="20" t="inlineStr">
        <is>
          <t>id51</t>
        </is>
      </c>
      <c r="C6" s="21" t="n">
        <v>810.4400000000001</v>
      </c>
      <c r="D6" s="22" t="n">
        <v>298</v>
      </c>
      <c r="E6" s="23">
        <f>IFERROR(C6/D6,0)</f>
        <v/>
      </c>
      <c r="F6" s="24">
        <f>Економіка!$B$6-E6*Параметри!$B$10</f>
        <v/>
      </c>
      <c r="G6" s="24">
        <f>F6*D6</f>
        <v/>
      </c>
      <c r="H6" s="25">
        <f>IFERROR(G6/(C6*Параметри!$B$10),0)</f>
        <v/>
      </c>
      <c r="I6" s="26">
        <f>IF(E6&lt;=Економіка!$B$8,"✅ прибутковий",IF(E6&lt;=Економіка!$B$7,"⚠️ тонка маржа","❌ збиток"))</f>
        <v/>
      </c>
    </row>
    <row r="7">
      <c r="A7" s="20" t="inlineStr">
        <is>
          <t>Сушарка кругла</t>
        </is>
      </c>
      <c r="B7" s="20" t="inlineStr">
        <is>
          <t>id263</t>
        </is>
      </c>
      <c r="C7" s="21" t="n">
        <v>633.7</v>
      </c>
      <c r="D7" s="22" t="n">
        <v>211</v>
      </c>
      <c r="E7" s="23">
        <f>IFERROR(C7/D7,0)</f>
        <v/>
      </c>
      <c r="F7" s="24">
        <f>Економіка!$B$6-E7*Параметри!$B$10</f>
        <v/>
      </c>
      <c r="G7" s="24">
        <f>F7*D7</f>
        <v/>
      </c>
      <c r="H7" s="25">
        <f>IFERROR(G7/(C7*Параметри!$B$10),0)</f>
        <v/>
      </c>
      <c r="I7" s="26">
        <f>IF(E7&lt;=Економіка!$B$8,"✅ прибутковий",IF(E7&lt;=Економіка!$B$7,"⚠️ тонка маржа","❌ збиток"))</f>
        <v/>
      </c>
    </row>
    <row r="8">
      <c r="A8" s="20" t="inlineStr">
        <is>
          <t>Сушарка</t>
        </is>
      </c>
      <c r="B8" s="20" t="inlineStr">
        <is>
          <t>id255</t>
        </is>
      </c>
      <c r="C8" s="21" t="n">
        <v>338.66</v>
      </c>
      <c r="D8" s="22" t="n">
        <v>116</v>
      </c>
      <c r="E8" s="23">
        <f>IFERROR(C8/D8,0)</f>
        <v/>
      </c>
      <c r="F8" s="24">
        <f>Економіка!$B$6-E8*Параметри!$B$10</f>
        <v/>
      </c>
      <c r="G8" s="24">
        <f>F8*D8</f>
        <v/>
      </c>
      <c r="H8" s="25">
        <f>IFERROR(G8/(C8*Параметри!$B$10),0)</f>
        <v/>
      </c>
      <c r="I8" s="26">
        <f>IF(E8&lt;=Економіка!$B$8,"✅ прибутковий",IF(E8&lt;=Економіка!$B$7,"⚠️ тонка маржа","❌ збиток"))</f>
        <v/>
      </c>
    </row>
    <row r="9">
      <c r="A9" s="20" t="inlineStr">
        <is>
          <t>Кавоварка</t>
        </is>
      </c>
      <c r="B9" s="20" t="inlineStr">
        <is>
          <t>id117</t>
        </is>
      </c>
      <c r="C9" s="21" t="n">
        <v>744.39</v>
      </c>
      <c r="D9" s="22" t="n">
        <v>221</v>
      </c>
      <c r="E9" s="23">
        <f>IFERROR(C9/D9,0)</f>
        <v/>
      </c>
      <c r="F9" s="24">
        <f>Економіка!$B$6-E9*Параметри!$B$10</f>
        <v/>
      </c>
      <c r="G9" s="24">
        <f>F9*D9</f>
        <v/>
      </c>
      <c r="H9" s="25">
        <f>IFERROR(G9/(C9*Параметри!$B$10),0)</f>
        <v/>
      </c>
      <c r="I9" s="26">
        <f>IF(E9&lt;=Економіка!$B$8,"✅ прибутковий",IF(E9&lt;=Економіка!$B$7,"⚠️ тонка маржа","❌ збиток"))</f>
        <v/>
      </c>
    </row>
    <row r="10">
      <c r="A10" s="20" t="inlineStr">
        <is>
          <t>Аерогриль</t>
        </is>
      </c>
      <c r="B10" s="20" t="inlineStr">
        <is>
          <t>id20/155</t>
        </is>
      </c>
      <c r="C10" s="21" t="n">
        <v>2009.37</v>
      </c>
      <c r="D10" s="22" t="n">
        <v>532</v>
      </c>
      <c r="E10" s="23">
        <f>IFERROR(C10/D10,0)</f>
        <v/>
      </c>
      <c r="F10" s="24">
        <f>Економіка!$B$6-E10*Параметри!$B$10</f>
        <v/>
      </c>
      <c r="G10" s="24">
        <f>F10*D10</f>
        <v/>
      </c>
      <c r="H10" s="25">
        <f>IFERROR(G10/(C10*Параметри!$B$10),0)</f>
        <v/>
      </c>
      <c r="I10" s="26">
        <f>IF(E10&lt;=Економіка!$B$8,"✅ прибутковий",IF(E10&lt;=Економіка!$B$7,"⚠️ тонка маржа","❌ збиток"))</f>
        <v/>
      </c>
    </row>
    <row r="11">
      <c r="A11" s="20" t="inlineStr">
        <is>
          <t>Віброплатформа</t>
        </is>
      </c>
      <c r="B11" s="20" t="inlineStr">
        <is>
          <t>id75</t>
        </is>
      </c>
      <c r="C11" s="21" t="n">
        <v>2281.9</v>
      </c>
      <c r="D11" s="22" t="n">
        <v>675</v>
      </c>
      <c r="E11" s="23">
        <f>IFERROR(C11/D11,0)</f>
        <v/>
      </c>
      <c r="F11" s="24">
        <f>Економіка!$B$6-E11*Параметри!$B$10</f>
        <v/>
      </c>
      <c r="G11" s="24">
        <f>F11*D11</f>
        <v/>
      </c>
      <c r="H11" s="25">
        <f>IFERROR(G11/(C11*Параметри!$B$10),0)</f>
        <v/>
      </c>
      <c r="I11" s="26">
        <f>IF(E11&lt;=Економіка!$B$8,"✅ прибутковий",IF(E11&lt;=Економіка!$B$7,"⚠️ тонка маржа","❌ збиток"))</f>
        <v/>
      </c>
    </row>
    <row r="12">
      <c r="A12" s="20" t="inlineStr">
        <is>
          <t>Рюкзак</t>
        </is>
      </c>
      <c r="B12" s="20" t="inlineStr">
        <is>
          <t>id42</t>
        </is>
      </c>
      <c r="C12" s="21" t="n">
        <v>263.97</v>
      </c>
      <c r="D12" s="22" t="n">
        <v>75</v>
      </c>
      <c r="E12" s="23">
        <f>IFERROR(C12/D12,0)</f>
        <v/>
      </c>
      <c r="F12" s="24">
        <f>Економіка!$B$6-E12*Параметри!$B$10</f>
        <v/>
      </c>
      <c r="G12" s="24">
        <f>F12*D12</f>
        <v/>
      </c>
      <c r="H12" s="25">
        <f>IFERROR(G12/(C12*Параметри!$B$10),0)</f>
        <v/>
      </c>
      <c r="I12" s="26">
        <f>IF(E12&lt;=Економіка!$B$8,"✅ прибутковий",IF(E12&lt;=Економіка!$B$7,"⚠️ тонка маржа","❌ збиток"))</f>
        <v/>
      </c>
    </row>
    <row r="13">
      <c r="A13" s="20" t="inlineStr">
        <is>
          <t>Аплікатор Кузнєцова</t>
        </is>
      </c>
      <c r="B13" s="20" t="inlineStr">
        <is>
          <t>id144</t>
        </is>
      </c>
      <c r="C13" s="21" t="n">
        <v>155.09</v>
      </c>
      <c r="D13" s="22" t="n">
        <v>48</v>
      </c>
      <c r="E13" s="23">
        <f>IFERROR(C13/D13,0)</f>
        <v/>
      </c>
      <c r="F13" s="24">
        <f>Економіка!$B$6-E13*Параметри!$B$10</f>
        <v/>
      </c>
      <c r="G13" s="24">
        <f>F13*D13</f>
        <v/>
      </c>
      <c r="H13" s="25">
        <f>IFERROR(G13/(C13*Параметри!$B$10),0)</f>
        <v/>
      </c>
      <c r="I13" s="26">
        <f>IF(E13&lt;=Економіка!$B$8,"✅ прибутковий",IF(E13&lt;=Економіка!$B$7,"⚠️ тонка маржа","❌ збиток"))</f>
        <v/>
      </c>
    </row>
    <row r="14">
      <c r="A14" s="20" t="inlineStr">
        <is>
          <t>Зеплайн-піраміда</t>
        </is>
      </c>
      <c r="B14" s="20" t="inlineStr">
        <is>
          <t>id258</t>
        </is>
      </c>
      <c r="C14" s="21" t="n">
        <v>451.12</v>
      </c>
      <c r="D14" s="22" t="n">
        <v>76</v>
      </c>
      <c r="E14" s="23">
        <f>IFERROR(C14/D14,0)</f>
        <v/>
      </c>
      <c r="F14" s="24">
        <f>Економіка!$B$6-E14*Параметри!$B$10</f>
        <v/>
      </c>
      <c r="G14" s="24">
        <f>F14*D14</f>
        <v/>
      </c>
      <c r="H14" s="25">
        <f>IFERROR(G14/(C14*Параметри!$B$10),0)</f>
        <v/>
      </c>
      <c r="I14" s="26">
        <f>IF(E14&lt;=Економіка!$B$8,"✅ прибутковий",IF(E14&lt;=Економіка!$B$7,"⚠️ тонка маржа","❌ збиток"))</f>
        <v/>
      </c>
    </row>
    <row r="15">
      <c r="A15" s="16" t="inlineStr">
        <is>
          <t>Разом</t>
        </is>
      </c>
      <c r="B15" s="16" t="n"/>
      <c r="C15" s="27">
        <f>SUM(C4:C14)</f>
        <v/>
      </c>
      <c r="D15" s="28">
        <f>SUM(D4:D14)</f>
        <v/>
      </c>
      <c r="E15" s="27">
        <f>IFERROR(C15/D15,0)</f>
        <v/>
      </c>
      <c r="F15" s="16" t="n"/>
      <c r="G15" s="29">
        <f>SUM(G4:G14)</f>
        <v/>
      </c>
      <c r="H15" s="30">
        <f>IFERROR(G15/(C15*Параметри!$B$10),0)</f>
        <v/>
      </c>
      <c r="I15" s="1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31" t="inlineStr">
        <is>
          <t>Джерело: Meta Ads API, кампанії кабінетів «1 бм 2 рк (MAX)», «ХітМаркет», «рк2», 90 днів до 01.10.2026, ліди = подія Lead пікселя. Апрув і викуп усіх товарів = середні з «Параметри», доки не підключено LP-CRM по товарах.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30" customWidth="1" min="3" max="3"/>
    <col width="32" customWidth="1" min="4" max="4"/>
    <col width="44" customWidth="1" min="5" max="5"/>
  </cols>
  <sheetData>
    <row r="1">
      <c r="A1" s="4" t="inlineStr">
        <is>
          <t>Блоки Product Score і шкала 0–5</t>
        </is>
      </c>
      <c r="B1" s="5" t="n"/>
      <c r="C1" s="5" t="n"/>
      <c r="D1" s="5" t="n"/>
      <c r="E1" s="5" t="n"/>
    </row>
    <row r="2">
      <c r="A2" s="5" t="n"/>
      <c r="B2" s="5" t="n"/>
      <c r="C2" s="5" t="n"/>
      <c r="D2" s="5" t="n"/>
      <c r="E2" s="5" t="n"/>
    </row>
    <row r="3">
      <c r="A3" s="6" t="inlineStr">
        <is>
          <t>Блок</t>
        </is>
      </c>
      <c r="B3" s="6" t="inlineStr">
        <is>
          <t>Вага</t>
        </is>
      </c>
      <c r="C3" s="6" t="inlineStr">
        <is>
          <t>0–1 бал</t>
        </is>
      </c>
      <c r="D3" s="6" t="inlineStr">
        <is>
          <t>2–3 бали</t>
        </is>
      </c>
      <c r="E3" s="6" t="inlineStr">
        <is>
          <t>4–5 балів</t>
        </is>
      </c>
    </row>
    <row r="4">
      <c r="A4" s="32" t="inlineStr">
        <is>
          <t>Тренд (Google Trends US/EU/UA)</t>
        </is>
      </c>
      <c r="B4" s="33" t="n">
        <v>20</v>
      </c>
      <c r="C4" s="32" t="inlineStr">
        <is>
          <t>Падає або плаский</t>
        </is>
      </c>
      <c r="D4" s="32" t="inlineStr">
        <is>
          <t>Стабільний або сезонний</t>
        </is>
      </c>
      <c r="E4" s="32" t="inlineStr">
        <is>
          <t>Росте у US 90 днів, в UA ще не піку</t>
        </is>
      </c>
    </row>
    <row r="5">
      <c r="A5" s="32" t="inlineStr">
        <is>
          <t>Рекламний доказ (Ad Library US/EU)</t>
        </is>
      </c>
      <c r="B5" s="33" t="n">
        <v>20</v>
      </c>
      <c r="C5" s="32" t="inlineStr">
        <is>
          <t>Майже нема реклами</t>
        </is>
      </c>
      <c r="D5" s="32" t="inlineStr">
        <is>
          <t>Кілька рекламодавців, реклама &lt; 30 днів</t>
        </is>
      </c>
      <c r="E5" s="32" t="inlineStr">
        <is>
          <t>Багато рекламодавців, реклама живе &gt; 30 днів, нові креативи</t>
        </is>
      </c>
    </row>
    <row r="6">
      <c r="A6" s="32" t="inlineStr">
        <is>
          <t>Насиченість UA (5 = вільна ніша)</t>
        </is>
      </c>
      <c r="B6" s="33" t="n">
        <v>15</v>
      </c>
      <c r="C6" s="32" t="inlineStr">
        <is>
          <t>Десятки конкурентів, демпінг</t>
        </is>
      </c>
      <c r="D6" s="32" t="inlineStr">
        <is>
          <t>Кілька конкурентів</t>
        </is>
      </c>
      <c r="E6" s="32" t="inlineStr">
        <is>
          <t>Майже немає в UA</t>
        </is>
      </c>
    </row>
    <row r="7">
      <c r="A7" s="32" t="inlineStr">
        <is>
          <t>Юніт-економіка</t>
        </is>
      </c>
      <c r="B7" s="33" t="n">
        <v>20</v>
      </c>
      <c r="C7" s="32" t="inlineStr">
        <is>
          <t>Маржа &lt; 200 ₴, крихкий/важкий</t>
        </is>
      </c>
      <c r="D7" s="32" t="inlineStr">
        <is>
          <t>Маржа 250–350 ₴</t>
        </is>
      </c>
      <c r="E7" s="32" t="inlineStr">
        <is>
          <t>Маржа &gt; 350 ₴ або легкий допродаж</t>
        </is>
      </c>
    </row>
    <row r="8">
      <c r="A8" s="32" t="inlineStr">
        <is>
          <t>Відповідність ЦА 45+</t>
        </is>
      </c>
      <c r="B8" s="33" t="n">
        <v>15</v>
      </c>
      <c r="C8" s="32" t="inlineStr">
        <is>
          <t>Молодіжний товар, складно показати</t>
        </is>
      </c>
      <c r="D8" s="32" t="inlineStr">
        <is>
          <t>Частково підходить</t>
        </is>
      </c>
      <c r="E8" s="32" t="inlineStr">
        <is>
          <t>Побут/кухня/город/здоров'я, «вау» на відео</t>
        </is>
      </c>
    </row>
    <row r="9">
      <c r="A9" s="32" t="inlineStr">
        <is>
          <t>Схожість з вашими переможцями</t>
        </is>
      </c>
      <c r="B9" s="33" t="n">
        <v>10</v>
      </c>
      <c r="C9" s="32" t="inlineStr">
        <is>
          <t>Нова незнайома категорія</t>
        </is>
      </c>
      <c r="D9" s="32" t="inlineStr">
        <is>
          <t>Суміжна категорія</t>
        </is>
      </c>
      <c r="E9" s="32" t="inlineStr">
        <is>
          <t>Як подрібнювач/блендер/компресор</t>
        </is>
      </c>
    </row>
    <row r="10">
      <c r="A10" s="16" t="inlineStr">
        <is>
          <t>Сума ваг (має бути 100)</t>
        </is>
      </c>
      <c r="B10" s="16">
        <f>SUM(B4:B9)</f>
        <v/>
      </c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7" t="inlineStr">
        <is>
          <t>Штраф за ризики: 0–20 балів (політики Meta щодо здоров'я, гарантійні повернення, розмірна сітка, кінець сезону).</t>
        </is>
      </c>
      <c r="B12" s="5" t="n"/>
      <c r="C12" s="5" t="n"/>
      <c r="D12" s="5" t="n"/>
      <c r="E12" s="5" t="n"/>
    </row>
    <row r="13">
      <c r="A13" s="16" t="inlineStr">
        <is>
          <t>Пороги рішення</t>
        </is>
      </c>
      <c r="B13" s="5" t="n"/>
      <c r="C13" s="5" t="n"/>
      <c r="D13" s="5" t="n"/>
      <c r="E13" s="5" t="n"/>
    </row>
    <row r="14">
      <c r="A14" s="7" t="inlineStr">
        <is>
          <t>«В тест» від Score</t>
        </is>
      </c>
      <c r="B14" s="34" t="n">
        <v>70</v>
      </c>
      <c r="C14" s="5" t="n"/>
      <c r="D14" s="5" t="n"/>
      <c r="E14" s="5" t="n"/>
    </row>
    <row r="15">
      <c r="A15" s="7" t="inlineStr">
        <is>
          <t>«Спостерігати» від Score</t>
        </is>
      </c>
      <c r="B15" s="34" t="n">
        <v>55</v>
      </c>
      <c r="C15" s="5" t="n"/>
      <c r="D15" s="5" t="n"/>
      <c r="E15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11" customWidth="1" min="3" max="3"/>
    <col width="12" customWidth="1" min="4" max="4"/>
    <col width="12" customWidth="1" min="5" max="5"/>
    <col width="8" customWidth="1" min="6" max="6"/>
    <col width="10" customWidth="1" min="7" max="7"/>
    <col width="10" customWidth="1" min="8" max="8"/>
    <col width="11" customWidth="1" min="9" max="9"/>
    <col width="8" customWidth="1" min="10" max="10"/>
    <col width="13" customWidth="1" min="11" max="11"/>
    <col width="11" customWidth="1" min="12" max="12"/>
    <col width="13" customWidth="1" min="13" max="13"/>
    <col width="60" customWidth="1" min="14" max="14"/>
  </cols>
  <sheetData>
    <row r="1">
      <c r="A1" s="4" t="inlineStr">
        <is>
          <t>Скоринг кандидатів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>
      <c r="A2" s="31" t="inlineStr">
        <is>
          <t>Сині клітинки заповнюєте ви (оцінки 0–5, штраф 0–20, очікуваний CPL). Score і рішення рахуються автоматично. Рядок 5 — приклад.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inlineStr">
        <is>
          <t>Товар</t>
        </is>
      </c>
      <c r="B4" s="6" t="inlineStr">
        <is>
          <t>Тренд</t>
        </is>
      </c>
      <c r="C4" s="6" t="inlineStr">
        <is>
          <t>Реклама US/EU</t>
        </is>
      </c>
      <c r="D4" s="6" t="inlineStr">
        <is>
          <t>Насиченість UA</t>
        </is>
      </c>
      <c r="E4" s="6" t="inlineStr">
        <is>
          <t>Юніт-економіка</t>
        </is>
      </c>
      <c r="F4" s="6" t="inlineStr">
        <is>
          <t>ЦА 45+</t>
        </is>
      </c>
      <c r="G4" s="6" t="inlineStr">
        <is>
          <t>Схожість</t>
        </is>
      </c>
      <c r="H4" s="6" t="inlineStr">
        <is>
          <t>Штраф ризиків</t>
        </is>
      </c>
      <c r="I4" s="6" t="inlineStr">
        <is>
          <t>Очік. CPL, $</t>
        </is>
      </c>
      <c r="J4" s="6" t="inlineStr">
        <is>
          <t>Score</t>
        </is>
      </c>
      <c r="K4" s="6" t="inlineStr">
        <is>
          <t>Допустимий CPL, $</t>
        </is>
      </c>
      <c r="L4" s="6" t="inlineStr">
        <is>
          <t>CPL-фільтр</t>
        </is>
      </c>
      <c r="M4" s="6" t="inlineStr">
        <is>
          <t>Рішення</t>
        </is>
      </c>
      <c r="N4" s="6" t="inlineStr">
        <is>
          <t>Коментар</t>
        </is>
      </c>
    </row>
    <row r="5">
      <c r="A5" s="20" t="inlineStr">
        <is>
          <t>Електрична щітка-скрабер</t>
        </is>
      </c>
      <c r="B5" s="35" t="n">
        <v>4</v>
      </c>
      <c r="C5" s="35" t="n">
        <v>4</v>
      </c>
      <c r="D5" s="35" t="n">
        <v>3</v>
      </c>
      <c r="E5" s="35" t="n">
        <v>3</v>
      </c>
      <c r="F5" s="35" t="n">
        <v>5</v>
      </c>
      <c r="G5" s="35" t="n">
        <v>3</v>
      </c>
      <c r="H5" s="35" t="n">
        <v>0</v>
      </c>
      <c r="I5" s="21" t="n">
        <v>2.8</v>
      </c>
      <c r="J5" s="20">
        <f>IF(A5="","",ROUND((B5*Ваги!$B$4+C5*Ваги!$B$5+D5*Ваги!$B$6+E5*Ваги!$B$7+F5*Ваги!$B$8+G5*Ваги!$B$9)/5-H5,0))</f>
        <v/>
      </c>
      <c r="K5" s="36">
        <f>IF(A5="","",Економіка!$B$8)</f>
        <v/>
      </c>
      <c r="L5" s="20">
        <f>IF(OR(A5="",I5=""),"",IF(I5&lt;=Економіка!$B$8,"OK",IF(I5&lt;=Економіка!$B$7,"Тонко","Дорого")))</f>
        <v/>
      </c>
      <c r="M5" s="20">
        <f>IF(A5="","",IF(L5="Дорого","Відкинути",IF(J5&gt;=Ваги!$B$14,"В тест",IF(J5&gt;=Ваги!$B$15,"Спостерігати","Відкинути"))))</f>
        <v/>
      </c>
      <c r="N5" s="20" t="inlineStr">
        <is>
          <t>US: 92 активні оголошення; UA: ~95 (частина нерелевантні); біль «прибирання без нахилів»</t>
        </is>
      </c>
    </row>
    <row r="6">
      <c r="A6" s="20" t="inlineStr">
        <is>
          <t>Бездротовий вакууматор</t>
        </is>
      </c>
      <c r="B6" s="35" t="n">
        <v>4</v>
      </c>
      <c r="C6" s="35" t="n">
        <v>4</v>
      </c>
      <c r="D6" s="35" t="n">
        <v>3</v>
      </c>
      <c r="E6" s="35" t="n">
        <v>3</v>
      </c>
      <c r="F6" s="35" t="n">
        <v>4</v>
      </c>
      <c r="G6" s="35" t="n">
        <v>3</v>
      </c>
      <c r="H6" s="35" t="n">
        <v>0</v>
      </c>
      <c r="I6" s="21" t="n">
        <v>3</v>
      </c>
      <c r="J6" s="20">
        <f>IF(A6="","",ROUND((B6*Ваги!$B$4+C6*Ваги!$B$5+D6*Ваги!$B$6+E6*Ваги!$B$7+F6*Ваги!$B$8+G6*Ваги!$B$9)/5-H6,0))</f>
        <v/>
      </c>
      <c r="K6" s="36">
        <f>IF(A6="","",Економіка!$B$8)</f>
        <v/>
      </c>
      <c r="L6" s="20">
        <f>IF(OR(A6="",I6=""),"",IF(I6&lt;=Економіка!$B$8,"OK",IF(I6&lt;=Економіка!$B$7,"Тонко","Дорого")))</f>
        <v/>
      </c>
      <c r="M6" s="20">
        <f>IF(A6="","",IF(L6="Дорого","Відкинути",IF(J6&gt;=Ваги!$B$14,"В тест",IF(J6&gt;=Ваги!$B$15,"Спостерігати","Відкинути"))))</f>
        <v/>
      </c>
      <c r="N6" s="20" t="inlineStr">
        <is>
          <t>US: 105 оголошень, тренд TikTok Shop; UA: ~115; ваш вакууматор мав CPL $4.4 (мала вибірка)</t>
        </is>
      </c>
    </row>
    <row r="7">
      <c r="A7" s="20" t="inlineStr">
        <is>
          <t>Міні-подрібнювач часнику</t>
        </is>
      </c>
      <c r="B7" s="35" t="n">
        <v>3</v>
      </c>
      <c r="C7" s="35" t="n">
        <v>5</v>
      </c>
      <c r="D7" s="35" t="n">
        <v>2</v>
      </c>
      <c r="E7" s="35" t="n">
        <v>2</v>
      </c>
      <c r="F7" s="35" t="n">
        <v>4</v>
      </c>
      <c r="G7" s="35" t="n">
        <v>5</v>
      </c>
      <c r="H7" s="35" t="n">
        <v>5</v>
      </c>
      <c r="I7" s="21" t="n">
        <v>2</v>
      </c>
      <c r="J7" s="20">
        <f>IF(A7="","",ROUND((B7*Ваги!$B$4+C7*Ваги!$B$5+D7*Ваги!$B$6+E7*Ваги!$B$7+F7*Ваги!$B$8+G7*Ваги!$B$9)/5-H7,0))</f>
        <v/>
      </c>
      <c r="K7" s="36">
        <f>IF(A7="","",Економіка!$B$8)</f>
        <v/>
      </c>
      <c r="L7" s="20">
        <f>IF(OR(A7="",I7=""),"",IF(I7&lt;=Економіка!$B$8,"OK",IF(I7&lt;=Економіка!$B$7,"Тонко","Дорого")))</f>
        <v/>
      </c>
      <c r="M7" s="20">
        <f>IF(A7="","",IF(L7="Дорого","Відкинути",IF(J7&gt;=Ваги!$B$14,"В тест",IF(J7&gt;=Ваги!$B$15,"Спостерігати","Відкинути"))))</f>
        <v/>
      </c>
      <c r="N7" s="20" t="inlineStr">
        <is>
          <t>US: 556 оголошень, багато клонів; UA «подрібнювач»: ~169; низький чек — краще як допродаж</t>
        </is>
      </c>
    </row>
    <row r="8">
      <c r="A8" s="20" t="inlineStr">
        <is>
          <t>Віброплатформа (нова хвиля)</t>
        </is>
      </c>
      <c r="B8" s="35" t="n">
        <v>2</v>
      </c>
      <c r="C8" s="35" t="n">
        <v>3</v>
      </c>
      <c r="D8" s="35" t="n">
        <v>2</v>
      </c>
      <c r="E8" s="35" t="n">
        <v>3</v>
      </c>
      <c r="F8" s="35" t="n">
        <v>3</v>
      </c>
      <c r="G8" s="35" t="n">
        <v>4</v>
      </c>
      <c r="H8" s="35" t="n">
        <v>5</v>
      </c>
      <c r="I8" s="21" t="n">
        <v>3.6</v>
      </c>
      <c r="J8" s="20">
        <f>IF(A8="","",ROUND((B8*Ваги!$B$4+C8*Ваги!$B$5+D8*Ваги!$B$6+E8*Ваги!$B$7+F8*Ваги!$B$8+G8*Ваги!$B$9)/5-H8,0))</f>
        <v/>
      </c>
      <c r="K8" s="36">
        <f>IF(A8="","",Економіка!$B$8)</f>
        <v/>
      </c>
      <c r="L8" s="20">
        <f>IF(OR(A8="",I8=""),"",IF(I8&lt;=Економіка!$B$8,"OK",IF(I8&lt;=Економіка!$B$7,"Тонко","Дорого")))</f>
        <v/>
      </c>
      <c r="M8" s="20">
        <f>IF(A8="","",IF(L8="Дорого","Відкинути",IF(J8&gt;=Ваги!$B$14,"В тест",IF(J8&gt;=Ваги!$B$15,"Спостерігати","Відкинути"))))</f>
        <v/>
      </c>
      <c r="N8" s="20" t="inlineStr">
        <is>
          <t>Мейнстрім у DE (Tchibo); ваш CPL нестабільний</t>
        </is>
      </c>
    </row>
    <row r="9">
      <c r="A9" s="20" t="inlineStr">
        <is>
          <t>Red light therapy</t>
        </is>
      </c>
      <c r="B9" s="35" t="n">
        <v>3</v>
      </c>
      <c r="C9" s="35" t="n">
        <v>4</v>
      </c>
      <c r="D9" s="35" t="n">
        <v>3</v>
      </c>
      <c r="E9" s="35" t="n">
        <v>3</v>
      </c>
      <c r="F9" s="35" t="n">
        <v>3</v>
      </c>
      <c r="G9" s="35" t="n">
        <v>1</v>
      </c>
      <c r="H9" s="35" t="n">
        <v>15</v>
      </c>
      <c r="I9" s="21" t="n">
        <v>4.5</v>
      </c>
      <c r="J9" s="20">
        <f>IF(A9="","",ROUND((B9*Ваги!$B$4+C9*Ваги!$B$5+D9*Ваги!$B$6+E9*Ваги!$B$7+F9*Ваги!$B$8+G9*Ваги!$B$9)/5-H9,0))</f>
        <v/>
      </c>
      <c r="K9" s="36">
        <f>IF(A9="","",Економіка!$B$8)</f>
        <v/>
      </c>
      <c r="L9" s="20">
        <f>IF(OR(A9="",I9=""),"",IF(I9&lt;=Економіка!$B$8,"OK",IF(I9&lt;=Економіка!$B$7,"Тонко","Дорого")))</f>
        <v/>
      </c>
      <c r="M9" s="20">
        <f>IF(A9="","",IF(L9="Дорого","Відкинути",IF(J9&gt;=Ваги!$B$14,"В тест",IF(J9&gt;=Ваги!$B$15,"Спостерігати","Відкинути"))))</f>
        <v/>
      </c>
      <c r="N9" s="20" t="inlineStr">
        <is>
          <t>Ризик політик Meta щодо здоров'я</t>
        </is>
      </c>
    </row>
    <row r="10">
      <c r="A10" s="20" t="n"/>
      <c r="B10" s="35" t="n"/>
      <c r="C10" s="35" t="n"/>
      <c r="D10" s="35" t="n"/>
      <c r="E10" s="35" t="n"/>
      <c r="F10" s="35" t="n"/>
      <c r="G10" s="35" t="n"/>
      <c r="H10" s="35" t="n"/>
      <c r="I10" s="21" t="n"/>
      <c r="J10" s="20">
        <f>IF(A10="","",ROUND((B10*Ваги!$B$4+C10*Ваги!$B$5+D10*Ваги!$B$6+E10*Ваги!$B$7+F10*Ваги!$B$8+G10*Ваги!$B$9)/5-H10,0))</f>
        <v/>
      </c>
      <c r="K10" s="36">
        <f>IF(A10="","",Економіка!$B$8)</f>
        <v/>
      </c>
      <c r="L10" s="20">
        <f>IF(OR(A10="",I10=""),"",IF(I10&lt;=Економіка!$B$8,"OK",IF(I10&lt;=Економіка!$B$7,"Тонко","Дорого")))</f>
        <v/>
      </c>
      <c r="M10" s="20">
        <f>IF(A10="","",IF(L10="Дорого","Відкинути",IF(J10&gt;=Ваги!$B$14,"В тест",IF(J10&gt;=Ваги!$B$15,"Спостерігати","Відкинути"))))</f>
        <v/>
      </c>
      <c r="N10" s="20" t="n"/>
    </row>
    <row r="11">
      <c r="A11" s="20" t="n"/>
      <c r="B11" s="35" t="n"/>
      <c r="C11" s="35" t="n"/>
      <c r="D11" s="35" t="n"/>
      <c r="E11" s="35" t="n"/>
      <c r="F11" s="35" t="n"/>
      <c r="G11" s="35" t="n"/>
      <c r="H11" s="35" t="n"/>
      <c r="I11" s="21" t="n"/>
      <c r="J11" s="20">
        <f>IF(A11="","",ROUND((B11*Ваги!$B$4+C11*Ваги!$B$5+D11*Ваги!$B$6+E11*Ваги!$B$7+F11*Ваги!$B$8+G11*Ваги!$B$9)/5-H11,0))</f>
        <v/>
      </c>
      <c r="K11" s="36">
        <f>IF(A11="","",Економіка!$B$8)</f>
        <v/>
      </c>
      <c r="L11" s="20">
        <f>IF(OR(A11="",I11=""),"",IF(I11&lt;=Економіка!$B$8,"OK",IF(I11&lt;=Економіка!$B$7,"Тонко","Дорого")))</f>
        <v/>
      </c>
      <c r="M11" s="20">
        <f>IF(A11="","",IF(L11="Дорого","Відкинути",IF(J11&gt;=Ваги!$B$14,"В тест",IF(J11&gt;=Ваги!$B$15,"Спостерігати","Відкинути"))))</f>
        <v/>
      </c>
      <c r="N11" s="20" t="n"/>
    </row>
    <row r="12">
      <c r="A12" s="20" t="n"/>
      <c r="B12" s="35" t="n"/>
      <c r="C12" s="35" t="n"/>
      <c r="D12" s="35" t="n"/>
      <c r="E12" s="35" t="n"/>
      <c r="F12" s="35" t="n"/>
      <c r="G12" s="35" t="n"/>
      <c r="H12" s="35" t="n"/>
      <c r="I12" s="21" t="n"/>
      <c r="J12" s="20">
        <f>IF(A12="","",ROUND((B12*Ваги!$B$4+C12*Ваги!$B$5+D12*Ваги!$B$6+E12*Ваги!$B$7+F12*Ваги!$B$8+G12*Ваги!$B$9)/5-H12,0))</f>
        <v/>
      </c>
      <c r="K12" s="36">
        <f>IF(A12="","",Економіка!$B$8)</f>
        <v/>
      </c>
      <c r="L12" s="20">
        <f>IF(OR(A12="",I12=""),"",IF(I12&lt;=Економіка!$B$8,"OK",IF(I12&lt;=Економіка!$B$7,"Тонко","Дорого")))</f>
        <v/>
      </c>
      <c r="M12" s="20">
        <f>IF(A12="","",IF(L12="Дорого","Відкинути",IF(J12&gt;=Ваги!$B$14,"В тест",IF(J12&gt;=Ваги!$B$15,"Спостерігати","Відкинути"))))</f>
        <v/>
      </c>
      <c r="N12" s="20" t="n"/>
    </row>
    <row r="13">
      <c r="A13" s="20" t="n"/>
      <c r="B13" s="35" t="n"/>
      <c r="C13" s="35" t="n"/>
      <c r="D13" s="35" t="n"/>
      <c r="E13" s="35" t="n"/>
      <c r="F13" s="35" t="n"/>
      <c r="G13" s="35" t="n"/>
      <c r="H13" s="35" t="n"/>
      <c r="I13" s="21" t="n"/>
      <c r="J13" s="20">
        <f>IF(A13="","",ROUND((B13*Ваги!$B$4+C13*Ваги!$B$5+D13*Ваги!$B$6+E13*Ваги!$B$7+F13*Ваги!$B$8+G13*Ваги!$B$9)/5-H13,0))</f>
        <v/>
      </c>
      <c r="K13" s="36">
        <f>IF(A13="","",Економіка!$B$8)</f>
        <v/>
      </c>
      <c r="L13" s="20">
        <f>IF(OR(A13="",I13=""),"",IF(I13&lt;=Економіка!$B$8,"OK",IF(I13&lt;=Економіка!$B$7,"Тонко","Дорого")))</f>
        <v/>
      </c>
      <c r="M13" s="20">
        <f>IF(A13="","",IF(L13="Дорого","Відкинути",IF(J13&gt;=Ваги!$B$14,"В тест",IF(J13&gt;=Ваги!$B$15,"Спостерігати","Відкинути"))))</f>
        <v/>
      </c>
      <c r="N13" s="20" t="n"/>
    </row>
    <row r="14">
      <c r="A14" s="20" t="n"/>
      <c r="B14" s="35" t="n"/>
      <c r="C14" s="35" t="n"/>
      <c r="D14" s="35" t="n"/>
      <c r="E14" s="35" t="n"/>
      <c r="F14" s="35" t="n"/>
      <c r="G14" s="35" t="n"/>
      <c r="H14" s="35" t="n"/>
      <c r="I14" s="21" t="n"/>
      <c r="J14" s="20">
        <f>IF(A14="","",ROUND((B14*Ваги!$B$4+C14*Ваги!$B$5+D14*Ваги!$B$6+E14*Ваги!$B$7+F14*Ваги!$B$8+G14*Ваги!$B$9)/5-H14,0))</f>
        <v/>
      </c>
      <c r="K14" s="36">
        <f>IF(A14="","",Економіка!$B$8)</f>
        <v/>
      </c>
      <c r="L14" s="20">
        <f>IF(OR(A14="",I14=""),"",IF(I14&lt;=Економіка!$B$8,"OK",IF(I14&lt;=Економіка!$B$7,"Тонко","Дорого")))</f>
        <v/>
      </c>
      <c r="M14" s="20">
        <f>IF(A14="","",IF(L14="Дорого","Відкинути",IF(J14&gt;=Ваги!$B$14,"В тест",IF(J14&gt;=Ваги!$B$15,"Спостерігати","Відкинути"))))</f>
        <v/>
      </c>
      <c r="N14" s="20" t="n"/>
    </row>
    <row r="15">
      <c r="A15" s="20" t="n"/>
      <c r="B15" s="35" t="n"/>
      <c r="C15" s="35" t="n"/>
      <c r="D15" s="35" t="n"/>
      <c r="E15" s="35" t="n"/>
      <c r="F15" s="35" t="n"/>
      <c r="G15" s="35" t="n"/>
      <c r="H15" s="35" t="n"/>
      <c r="I15" s="21" t="n"/>
      <c r="J15" s="20">
        <f>IF(A15="","",ROUND((B15*Ваги!$B$4+C15*Ваги!$B$5+D15*Ваги!$B$6+E15*Ваги!$B$7+F15*Ваги!$B$8+G15*Ваги!$B$9)/5-H15,0))</f>
        <v/>
      </c>
      <c r="K15" s="36">
        <f>IF(A15="","",Економіка!$B$8)</f>
        <v/>
      </c>
      <c r="L15" s="20">
        <f>IF(OR(A15="",I15=""),"",IF(I15&lt;=Економіка!$B$8,"OK",IF(I15&lt;=Економіка!$B$7,"Тонко","Дорого")))</f>
        <v/>
      </c>
      <c r="M15" s="20">
        <f>IF(A15="","",IF(L15="Дорого","Відкинути",IF(J15&gt;=Ваги!$B$14,"В тест",IF(J15&gt;=Ваги!$B$15,"Спостерігати","Відкинути"))))</f>
        <v/>
      </c>
      <c r="N15" s="20" t="n"/>
    </row>
    <row r="16">
      <c r="A16" s="20" t="n"/>
      <c r="B16" s="35" t="n"/>
      <c r="C16" s="35" t="n"/>
      <c r="D16" s="35" t="n"/>
      <c r="E16" s="35" t="n"/>
      <c r="F16" s="35" t="n"/>
      <c r="G16" s="35" t="n"/>
      <c r="H16" s="35" t="n"/>
      <c r="I16" s="21" t="n"/>
      <c r="J16" s="20">
        <f>IF(A16="","",ROUND((B16*Ваги!$B$4+C16*Ваги!$B$5+D16*Ваги!$B$6+E16*Ваги!$B$7+F16*Ваги!$B$8+G16*Ваги!$B$9)/5-H16,0))</f>
        <v/>
      </c>
      <c r="K16" s="36">
        <f>IF(A16="","",Економіка!$B$8)</f>
        <v/>
      </c>
      <c r="L16" s="20">
        <f>IF(OR(A16="",I16=""),"",IF(I16&lt;=Економіка!$B$8,"OK",IF(I16&lt;=Економіка!$B$7,"Тонко","Дорого")))</f>
        <v/>
      </c>
      <c r="M16" s="20">
        <f>IF(A16="","",IF(L16="Дорого","Відкинути",IF(J16&gt;=Ваги!$B$14,"В тест",IF(J16&gt;=Ваги!$B$15,"Спостерігати","Відкинути"))))</f>
        <v/>
      </c>
      <c r="N16" s="20" t="n"/>
    </row>
    <row r="17">
      <c r="A17" s="20" t="n"/>
      <c r="B17" s="35" t="n"/>
      <c r="C17" s="35" t="n"/>
      <c r="D17" s="35" t="n"/>
      <c r="E17" s="35" t="n"/>
      <c r="F17" s="35" t="n"/>
      <c r="G17" s="35" t="n"/>
      <c r="H17" s="35" t="n"/>
      <c r="I17" s="21" t="n"/>
      <c r="J17" s="20">
        <f>IF(A17="","",ROUND((B17*Ваги!$B$4+C17*Ваги!$B$5+D17*Ваги!$B$6+E17*Ваги!$B$7+F17*Ваги!$B$8+G17*Ваги!$B$9)/5-H17,0))</f>
        <v/>
      </c>
      <c r="K17" s="36">
        <f>IF(A17="","",Економіка!$B$8)</f>
        <v/>
      </c>
      <c r="L17" s="20">
        <f>IF(OR(A17="",I17=""),"",IF(I17&lt;=Економіка!$B$8,"OK",IF(I17&lt;=Економіка!$B$7,"Тонко","Дорого")))</f>
        <v/>
      </c>
      <c r="M17" s="20">
        <f>IF(A17="","",IF(L17="Дорого","Відкинути",IF(J17&gt;=Ваги!$B$14,"В тест",IF(J17&gt;=Ваги!$B$15,"Спостерігати","Відкинути"))))</f>
        <v/>
      </c>
      <c r="N17" s="20" t="n"/>
    </row>
    <row r="18">
      <c r="A18" s="20" t="n"/>
      <c r="B18" s="35" t="n"/>
      <c r="C18" s="35" t="n"/>
      <c r="D18" s="35" t="n"/>
      <c r="E18" s="35" t="n"/>
      <c r="F18" s="35" t="n"/>
      <c r="G18" s="35" t="n"/>
      <c r="H18" s="35" t="n"/>
      <c r="I18" s="21" t="n"/>
      <c r="J18" s="20">
        <f>IF(A18="","",ROUND((B18*Ваги!$B$4+C18*Ваги!$B$5+D18*Ваги!$B$6+E18*Ваги!$B$7+F18*Ваги!$B$8+G18*Ваги!$B$9)/5-H18,0))</f>
        <v/>
      </c>
      <c r="K18" s="36">
        <f>IF(A18="","",Економіка!$B$8)</f>
        <v/>
      </c>
      <c r="L18" s="20">
        <f>IF(OR(A18="",I18=""),"",IF(I18&lt;=Економіка!$B$8,"OK",IF(I18&lt;=Економіка!$B$7,"Тонко","Дорого")))</f>
        <v/>
      </c>
      <c r="M18" s="20">
        <f>IF(A18="","",IF(L18="Дорого","Відкинути",IF(J18&gt;=Ваги!$B$14,"В тест",IF(J18&gt;=Ваги!$B$15,"Спостерігати","Відкинути"))))</f>
        <v/>
      </c>
      <c r="N18" s="20" t="n"/>
    </row>
    <row r="19">
      <c r="A19" s="20" t="n"/>
      <c r="B19" s="35" t="n"/>
      <c r="C19" s="35" t="n"/>
      <c r="D19" s="35" t="n"/>
      <c r="E19" s="35" t="n"/>
      <c r="F19" s="35" t="n"/>
      <c r="G19" s="35" t="n"/>
      <c r="H19" s="35" t="n"/>
      <c r="I19" s="21" t="n"/>
      <c r="J19" s="20">
        <f>IF(A19="","",ROUND((B19*Ваги!$B$4+C19*Ваги!$B$5+D19*Ваги!$B$6+E19*Ваги!$B$7+F19*Ваги!$B$8+G19*Ваги!$B$9)/5-H19,0))</f>
        <v/>
      </c>
      <c r="K19" s="36">
        <f>IF(A19="","",Економіка!$B$8)</f>
        <v/>
      </c>
      <c r="L19" s="20">
        <f>IF(OR(A19="",I19=""),"",IF(I19&lt;=Економіка!$B$8,"OK",IF(I19&lt;=Економіка!$B$7,"Тонко","Дорого")))</f>
        <v/>
      </c>
      <c r="M19" s="20">
        <f>IF(A19="","",IF(L19="Дорого","Відкинути",IF(J19&gt;=Ваги!$B$14,"В тест",IF(J19&gt;=Ваги!$B$15,"Спостерігати","Відкинути"))))</f>
        <v/>
      </c>
      <c r="N19" s="20" t="n"/>
    </row>
  </sheetData>
  <conditionalFormatting sqref="M5:M19">
    <cfRule type="cellIs" priority="1" operator="equal" dxfId="0">
      <formula>"В тест"</formula>
    </cfRule>
    <cfRule type="cellIs" priority="2" operator="equal" dxfId="1">
      <formula>"Спостерігати"</formula>
    </cfRule>
    <cfRule type="cellIs" priority="3" operator="equal" dxfId="2">
      <formula>"Відкинути"</formula>
    </cfRule>
  </conditionalFormatting>
  <dataValidations count="2">
    <dataValidation sqref="B5:G19" showDropDown="0" showInputMessage="0" showErrorMessage="1" allowBlank="0" error="Оцінка 0–5" type="whole" operator="between">
      <formula1>0</formula1>
      <formula2>5</formula2>
    </dataValidation>
    <dataValidation sqref="H5:H19" showDropDown="0" showInputMessage="0" showErrorMessage="1" allowBlank="0" error="Штраф 0–20" type="whole" operator="between">
      <formula1>0</formula1>
      <formula2>20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80" customWidth="1" min="3" max="3"/>
  </cols>
  <sheetData>
    <row r="1">
      <c r="A1" s="4" t="inlineStr">
        <is>
          <t>Протокол тесту товару</t>
        </is>
      </c>
      <c r="B1" s="5" t="n"/>
      <c r="C1" s="5" t="n"/>
    </row>
    <row r="2">
      <c r="A2" s="5" t="n"/>
      <c r="B2" s="5" t="n"/>
      <c r="C2" s="5" t="n"/>
    </row>
    <row r="3">
      <c r="A3" s="6" t="inlineStr">
        <is>
          <t>Етап</t>
        </is>
      </c>
      <c r="B3" s="6" t="inlineStr">
        <is>
          <t>Значення</t>
        </is>
      </c>
      <c r="C3" s="6" t="inlineStr">
        <is>
          <t>Правило</t>
        </is>
      </c>
    </row>
    <row r="4">
      <c r="A4" s="7" t="inlineStr">
        <is>
          <t>Бюджет тесту, $/день</t>
        </is>
      </c>
      <c r="B4" s="36">
        <f>Параметри!B12</f>
        <v/>
      </c>
      <c r="C4" s="7" t="inlineStr">
        <is>
          <t>OUTCOME_LEADS, широка аудиторія UA, 3–4 відео-креативи</t>
        </is>
      </c>
    </row>
    <row r="5">
      <c r="A5" s="7" t="inlineStr">
        <is>
          <t>Загальний бюджет тесту, $</t>
        </is>
      </c>
      <c r="B5" s="36">
        <f>Параметри!B12*Параметри!B13</f>
        <v/>
      </c>
      <c r="C5" s="7" t="inlineStr">
        <is>
          <t>на один товар</t>
        </is>
      </c>
    </row>
    <row r="6">
      <c r="A6" s="7" t="inlineStr">
        <is>
          <t>Kill-точка: спенд, $</t>
        </is>
      </c>
      <c r="B6" s="36">
        <f>Параметри!B16*Економіка!B8</f>
        <v/>
      </c>
      <c r="C6" s="7" t="inlineStr">
        <is>
          <t>після цього спенду перевіряємо CPL</t>
        </is>
      </c>
    </row>
    <row r="7">
      <c r="A7" s="7" t="inlineStr">
        <is>
          <t>Kill, якщо CPL вищий за, $</t>
        </is>
      </c>
      <c r="B7" s="36">
        <f>Економіка!B7</f>
        <v/>
      </c>
      <c r="C7" s="7" t="inlineStr">
        <is>
          <t>беззбитковий CPL → стоп</t>
        </is>
      </c>
    </row>
    <row r="8">
      <c r="A8" s="7" t="inlineStr">
        <is>
          <t>Scale, якщо CPL не вищий за, $</t>
        </is>
      </c>
      <c r="B8" s="36">
        <f>Економіка!B8</f>
        <v/>
      </c>
      <c r="C8" s="7" t="inlineStr">
        <is>
          <t>і апрув у LP-CRM ≥ мінімального</t>
        </is>
      </c>
    </row>
    <row r="9">
      <c r="A9" s="7" t="inlineStr">
        <is>
          <t>Мінімальний апрув для scale</t>
        </is>
      </c>
      <c r="B9" s="37">
        <f>Параметри!B15</f>
        <v/>
      </c>
      <c r="C9" s="7" t="inlineStr"/>
    </row>
    <row r="10">
      <c r="A10" s="7" t="inlineStr">
        <is>
          <t>Бюджет scale, $/день</t>
        </is>
      </c>
      <c r="B10" s="36">
        <f>Параметри!B14</f>
        <v/>
      </c>
      <c r="C10" s="7" t="inlineStr">
        <is>
          <t>потім дублі в інші кабінети</t>
        </is>
      </c>
    </row>
    <row r="11">
      <c r="A11" s="7" t="inlineStr">
        <is>
          <t>Між kill і scale</t>
        </is>
      </c>
      <c r="B11" s="20" t="inlineStr"/>
      <c r="C11" s="7" t="inlineStr">
        <is>
          <t>CPL між цільовим і беззбитковим → тест нових креативів/оферу ще на 2 дні</t>
        </is>
      </c>
    </row>
    <row r="12">
      <c r="A12" s="7" t="inlineStr">
        <is>
          <t>Фінальне рішення</t>
        </is>
      </c>
      <c r="B12" s="20" t="inlineStr"/>
      <c r="C12" s="7" t="inlineStr">
        <is>
          <t>за ціною викупленого замовлення з LP-CRM через 10–14 днів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2026-10-02T12:08:27Z</dcterms:created>
  <dcterms:modified xsi:type="dcterms:W3CDTF">2026-10-02T12:08:27Z</dcterms:modified>
</cp:coreProperties>
</file>